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INTING_RATES" sheetId="1" r:id="rId5"/>
  </sheets>
  <definedNames/>
  <calcPr/>
</workbook>
</file>

<file path=xl/sharedStrings.xml><?xml version="1.0" encoding="utf-8"?>
<sst xmlns="http://schemas.openxmlformats.org/spreadsheetml/2006/main" count="245" uniqueCount="102">
  <si>
    <t>Rate_Record_ID</t>
  </si>
  <si>
    <t>Vendor_ID</t>
  </si>
  <si>
    <t>Vendor_Name</t>
  </si>
  <si>
    <t>Machine_Name</t>
  </si>
  <si>
    <t>Machine_Type</t>
  </si>
  <si>
    <t>Max_Sheet_Size_Name</t>
  </si>
  <si>
    <t>inXin</t>
  </si>
  <si>
    <t>Max_Sheet_Length_MM</t>
  </si>
  <si>
    <t>Max_Sheet_Width_MM</t>
  </si>
  <si>
    <t>Color_Capability</t>
  </si>
  <si>
    <t>Machine_Speed_IPH</t>
  </si>
  <si>
    <t>Pricing_Model</t>
  </si>
  <si>
    <t>upto Qty</t>
  </si>
  <si>
    <t>Rate_Sheet_Size</t>
  </si>
  <si>
    <t xml:space="preserve">Rate_Single Color(One Side) </t>
  </si>
  <si>
    <t>Rate_4_Color(One Side) big machine</t>
  </si>
  <si>
    <t>Rate_4_Color(One Side) small machine</t>
  </si>
  <si>
    <t>Qty_Break_1_Min</t>
  </si>
  <si>
    <t>Qty_Break_1_Rate</t>
  </si>
  <si>
    <t>Qty_Break_2_Min</t>
  </si>
  <si>
    <t>Qty_Break_2_Rate</t>
  </si>
  <si>
    <t>Plate_Charge_Per_Color(Small Machine)</t>
  </si>
  <si>
    <t>Plate_Charge_Per_Color(Big Machine</t>
  </si>
  <si>
    <t>Lead_Time_Days</t>
  </si>
  <si>
    <t>Active</t>
  </si>
  <si>
    <t>PR001</t>
  </si>
  <si>
    <t>VEN010</t>
  </si>
  <si>
    <t>NABAMUDRAN PVT LTD</t>
  </si>
  <si>
    <t>HEIDELBERG-102</t>
  </si>
  <si>
    <t>Offset Sheet-Fed</t>
  </si>
  <si>
    <t>B1 Format</t>
  </si>
  <si>
    <t>28X40</t>
  </si>
  <si>
    <t>4 COL</t>
  </si>
  <si>
    <t>Per Impression</t>
  </si>
  <si>
    <t>SRA2</t>
  </si>
  <si>
    <t>Yes</t>
  </si>
  <si>
    <t>PR002</t>
  </si>
  <si>
    <t>3001-10000</t>
  </si>
  <si>
    <t>720/1000</t>
  </si>
  <si>
    <t>PR003</t>
  </si>
  <si>
    <t>10000+</t>
  </si>
  <si>
    <t>640/1000</t>
  </si>
  <si>
    <t>PR004</t>
  </si>
  <si>
    <t>MAN ROLAND R-200</t>
  </si>
  <si>
    <t>B2 Format</t>
  </si>
  <si>
    <t>20X30</t>
  </si>
  <si>
    <t>5 COL</t>
  </si>
  <si>
    <t>A3</t>
  </si>
  <si>
    <t>PR005</t>
  </si>
  <si>
    <t>3001+</t>
  </si>
  <si>
    <t>460/1000</t>
  </si>
  <si>
    <t>PR006</t>
  </si>
  <si>
    <t>PR007</t>
  </si>
  <si>
    <t xml:space="preserve">MAN ROLAND PARVA </t>
  </si>
  <si>
    <t>25X36</t>
  </si>
  <si>
    <t>2 COL</t>
  </si>
  <si>
    <t>SRA3</t>
  </si>
  <si>
    <t>PR008</t>
  </si>
  <si>
    <t>PLANETA SUPPER VARRIANT</t>
  </si>
  <si>
    <t>800/1000</t>
  </si>
  <si>
    <t>PR009</t>
  </si>
  <si>
    <t>4COL</t>
  </si>
  <si>
    <t>PR010</t>
  </si>
  <si>
    <t>VEN011</t>
  </si>
  <si>
    <t>BALAJI PRINTING SOLUTION</t>
  </si>
  <si>
    <t>KOMORI L-40</t>
  </si>
  <si>
    <t>20x30</t>
  </si>
  <si>
    <t>SRA4</t>
  </si>
  <si>
    <t>PR011</t>
  </si>
  <si>
    <t>per Impression</t>
  </si>
  <si>
    <t>PR012</t>
  </si>
  <si>
    <t>KOMORI L-32</t>
  </si>
  <si>
    <t>B2+ Format</t>
  </si>
  <si>
    <t>19x25</t>
  </si>
  <si>
    <t>SRA5</t>
  </si>
  <si>
    <t>PR013</t>
  </si>
  <si>
    <t>SRA6</t>
  </si>
  <si>
    <t>360/1000</t>
  </si>
  <si>
    <t>PR014</t>
  </si>
  <si>
    <t>VEN012</t>
  </si>
  <si>
    <t>FLORENCE OFFSET PVT LTD</t>
  </si>
  <si>
    <t>KOMORI</t>
  </si>
  <si>
    <t>18x25</t>
  </si>
  <si>
    <t>PR015</t>
  </si>
  <si>
    <t>2000+</t>
  </si>
  <si>
    <t>PR016</t>
  </si>
  <si>
    <t>DYRE</t>
  </si>
  <si>
    <t>SINGLE</t>
  </si>
  <si>
    <t>PR017</t>
  </si>
  <si>
    <t>350/1000</t>
  </si>
  <si>
    <t>18x29</t>
  </si>
  <si>
    <t>r-200</t>
  </si>
  <si>
    <t>23x36</t>
  </si>
  <si>
    <t>4400 NABAMUDRAN</t>
  </si>
  <si>
    <t>3200 NABMUDRA</t>
  </si>
  <si>
    <t>balaji</t>
  </si>
  <si>
    <t>22X32</t>
  </si>
  <si>
    <t>r-250</t>
  </si>
  <si>
    <t>mimium charges</t>
  </si>
  <si>
    <t>upto 3000</t>
  </si>
  <si>
    <t>short machine</t>
  </si>
  <si>
    <t>big machine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</si>
</sst>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0.0"/>
      <color rgb="FFFFFFFF"/>
      <name val="Arial"/>
    </font>
    <font>
      <sz val="10.0"/>
      <color theme="1"/>
      <name val="Arial"/>
    </font>
    <font>
      <b/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366092"/>
        <bgColor rgb="FF366092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0" fillId="0" fontId="2" numFmtId="0" xfId="0" applyFont="1"/>
    <xf borderId="1" fillId="0" fontId="2" numFmtId="0" xfId="0" applyBorder="1" applyFont="1"/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 shrinkToFit="0" wrapText="1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vertical="bottom"/>
    </xf>
    <xf borderId="1" fillId="0" fontId="2" numFmtId="1" xfId="0" applyAlignment="1" applyBorder="1" applyFont="1" applyNumberFormat="1">
      <alignment readingOrder="0"/>
    </xf>
    <xf borderId="1" fillId="0" fontId="2" numFmtId="0" xfId="0" applyAlignment="1" applyBorder="1" applyFont="1">
      <alignment readingOrder="0" vertical="bottom"/>
    </xf>
    <xf borderId="1" fillId="0" fontId="3" numFmtId="0" xfId="0" applyAlignment="1" applyBorder="1" applyFont="1">
      <alignment readingOrder="0"/>
    </xf>
    <xf borderId="1" fillId="0" fontId="2" numFmtId="0" xfId="0" applyAlignment="1" applyBorder="1" applyFont="1">
      <alignment vertical="bottom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63"/>
    <col customWidth="1" min="2" max="2" width="10.5"/>
    <col customWidth="1" min="3" max="3" width="25.0"/>
    <col customWidth="1" min="4" max="4" width="21.0"/>
    <col customWidth="1" min="5" max="5" width="14.75"/>
    <col customWidth="1" min="6" max="6" width="12.88"/>
    <col customWidth="1" min="7" max="7" width="8.63"/>
    <col customWidth="1" min="8" max="8" width="10.0"/>
    <col customWidth="1" min="9" max="9" width="10.13"/>
    <col customWidth="1" min="10" max="10" width="9.75"/>
    <col customWidth="1" min="11" max="11" width="10.5"/>
    <col customWidth="1" min="12" max="12" width="15.75"/>
    <col customWidth="1" min="13" max="13" width="10.5"/>
    <col customWidth="1" min="14" max="14" width="13.13"/>
    <col customWidth="1" min="15" max="17" width="19.75"/>
    <col customWidth="1" min="18" max="21" width="10.5"/>
    <col customWidth="1" min="22" max="22" width="13.13"/>
    <col customWidth="1" min="23" max="23" width="14.88"/>
    <col customWidth="1" min="24" max="24" width="10.5"/>
    <col customWidth="1" min="25" max="25" width="7.0"/>
    <col customWidth="1" min="26" max="30" width="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22</v>
      </c>
      <c r="X1" s="1" t="s">
        <v>23</v>
      </c>
      <c r="Y1" s="1" t="s">
        <v>24</v>
      </c>
      <c r="Z1" s="3"/>
      <c r="AA1" s="3"/>
      <c r="AB1" s="3"/>
      <c r="AC1" s="3"/>
      <c r="AD1" s="3"/>
    </row>
    <row r="2">
      <c r="A2" s="4" t="s">
        <v>25</v>
      </c>
      <c r="B2" s="5" t="s">
        <v>26</v>
      </c>
      <c r="C2" s="6" t="s">
        <v>27</v>
      </c>
      <c r="D2" s="7" t="s">
        <v>28</v>
      </c>
      <c r="E2" s="4" t="s">
        <v>29</v>
      </c>
      <c r="F2" s="7" t="s">
        <v>30</v>
      </c>
      <c r="G2" s="8" t="s">
        <v>31</v>
      </c>
      <c r="H2" s="9">
        <v>711.2</v>
      </c>
      <c r="I2" s="9">
        <v>1016.0</v>
      </c>
      <c r="J2" s="10" t="s">
        <v>32</v>
      </c>
      <c r="K2" s="7">
        <v>9000.0</v>
      </c>
      <c r="L2" s="7" t="s">
        <v>33</v>
      </c>
      <c r="M2" s="7">
        <v>3000.0</v>
      </c>
      <c r="N2" s="4" t="s">
        <v>34</v>
      </c>
      <c r="O2" s="7">
        <v>0.0</v>
      </c>
      <c r="P2" s="7">
        <v>2200.0</v>
      </c>
      <c r="Q2" s="7">
        <v>0.0</v>
      </c>
      <c r="R2" s="7">
        <v>216.0</v>
      </c>
      <c r="S2" s="4">
        <v>1500.0</v>
      </c>
      <c r="T2" s="4">
        <v>5000.0</v>
      </c>
      <c r="U2" s="7">
        <v>432.0</v>
      </c>
      <c r="V2" s="11">
        <v>0.0</v>
      </c>
      <c r="W2" s="7">
        <v>550.0</v>
      </c>
      <c r="X2" s="4">
        <v>2.0</v>
      </c>
      <c r="Y2" s="4" t="s">
        <v>35</v>
      </c>
      <c r="Z2" s="3"/>
      <c r="AA2" s="3"/>
      <c r="AB2" s="3"/>
      <c r="AC2" s="3"/>
      <c r="AD2" s="3"/>
    </row>
    <row r="3">
      <c r="A3" s="7" t="s">
        <v>36</v>
      </c>
      <c r="B3" s="5" t="s">
        <v>26</v>
      </c>
      <c r="C3" s="6" t="s">
        <v>27</v>
      </c>
      <c r="D3" s="7" t="s">
        <v>28</v>
      </c>
      <c r="E3" s="4" t="s">
        <v>29</v>
      </c>
      <c r="F3" s="7" t="s">
        <v>30</v>
      </c>
      <c r="G3" s="8" t="s">
        <v>31</v>
      </c>
      <c r="H3" s="9">
        <v>711.2</v>
      </c>
      <c r="I3" s="9">
        <v>1016.0</v>
      </c>
      <c r="J3" s="10" t="s">
        <v>32</v>
      </c>
      <c r="K3" s="7">
        <v>9000.0</v>
      </c>
      <c r="L3" s="7" t="s">
        <v>33</v>
      </c>
      <c r="M3" s="7" t="s">
        <v>37</v>
      </c>
      <c r="N3" s="4" t="s">
        <v>34</v>
      </c>
      <c r="O3" s="7">
        <v>0.0</v>
      </c>
      <c r="P3" s="7" t="s">
        <v>38</v>
      </c>
      <c r="Q3" s="7"/>
      <c r="R3" s="7"/>
      <c r="S3" s="4"/>
      <c r="T3" s="4"/>
      <c r="U3" s="7"/>
      <c r="V3" s="7"/>
      <c r="W3" s="7"/>
      <c r="X3" s="4">
        <v>2.0</v>
      </c>
      <c r="Y3" s="4" t="s">
        <v>35</v>
      </c>
      <c r="Z3" s="3"/>
      <c r="AA3" s="3"/>
      <c r="AB3" s="3"/>
      <c r="AC3" s="3"/>
      <c r="AD3" s="3"/>
    </row>
    <row r="4">
      <c r="A4" s="4" t="s">
        <v>39</v>
      </c>
      <c r="B4" s="5" t="s">
        <v>26</v>
      </c>
      <c r="C4" s="6" t="s">
        <v>27</v>
      </c>
      <c r="D4" s="7" t="s">
        <v>28</v>
      </c>
      <c r="E4" s="4" t="s">
        <v>29</v>
      </c>
      <c r="F4" s="7" t="s">
        <v>30</v>
      </c>
      <c r="G4" s="10" t="s">
        <v>31</v>
      </c>
      <c r="H4" s="9">
        <v>711.0</v>
      </c>
      <c r="I4" s="9">
        <v>1016.0</v>
      </c>
      <c r="J4" s="10" t="s">
        <v>32</v>
      </c>
      <c r="K4" s="7">
        <v>9000.0</v>
      </c>
      <c r="L4" s="7" t="s">
        <v>33</v>
      </c>
      <c r="M4" s="7" t="s">
        <v>40</v>
      </c>
      <c r="N4" s="4" t="s">
        <v>34</v>
      </c>
      <c r="O4" s="7">
        <v>0.0</v>
      </c>
      <c r="P4" s="7" t="s">
        <v>41</v>
      </c>
      <c r="Q4" s="7"/>
      <c r="R4" s="7"/>
      <c r="S4" s="4"/>
      <c r="T4" s="4"/>
      <c r="U4" s="7"/>
      <c r="V4" s="7"/>
      <c r="W4" s="7"/>
      <c r="X4" s="4">
        <v>2.0</v>
      </c>
      <c r="Y4" s="4" t="s">
        <v>35</v>
      </c>
      <c r="Z4" s="3"/>
      <c r="AA4" s="3"/>
      <c r="AB4" s="3"/>
      <c r="AC4" s="3"/>
      <c r="AD4" s="3"/>
    </row>
    <row r="5">
      <c r="A5" s="7" t="s">
        <v>42</v>
      </c>
      <c r="B5" s="5" t="s">
        <v>26</v>
      </c>
      <c r="C5" s="6" t="s">
        <v>27</v>
      </c>
      <c r="D5" s="7" t="s">
        <v>43</v>
      </c>
      <c r="E5" s="4" t="s">
        <v>29</v>
      </c>
      <c r="F5" s="7" t="s">
        <v>44</v>
      </c>
      <c r="G5" s="8" t="s">
        <v>45</v>
      </c>
      <c r="H5" s="9">
        <v>508.0</v>
      </c>
      <c r="I5" s="9">
        <v>762.0</v>
      </c>
      <c r="J5" s="10" t="s">
        <v>46</v>
      </c>
      <c r="K5" s="7">
        <v>8000.0</v>
      </c>
      <c r="L5" s="7" t="s">
        <v>33</v>
      </c>
      <c r="M5" s="7">
        <v>3000.0</v>
      </c>
      <c r="N5" s="4" t="s">
        <v>47</v>
      </c>
      <c r="O5" s="7">
        <v>0.0</v>
      </c>
      <c r="P5" s="7">
        <v>0.0</v>
      </c>
      <c r="Q5" s="7">
        <v>1400.0</v>
      </c>
      <c r="R5" s="7">
        <v>150.0</v>
      </c>
      <c r="S5" s="4">
        <v>1300.0</v>
      </c>
      <c r="T5" s="4">
        <v>5000.0</v>
      </c>
      <c r="U5" s="7">
        <v>300.0</v>
      </c>
      <c r="V5" s="7">
        <v>450.0</v>
      </c>
      <c r="W5" s="7">
        <v>0.0</v>
      </c>
      <c r="X5" s="4">
        <v>2.0</v>
      </c>
      <c r="Y5" s="4" t="s">
        <v>35</v>
      </c>
      <c r="Z5" s="3"/>
      <c r="AA5" s="3"/>
      <c r="AB5" s="3"/>
      <c r="AC5" s="3"/>
      <c r="AD5" s="3"/>
    </row>
    <row r="6">
      <c r="A6" s="4" t="s">
        <v>48</v>
      </c>
      <c r="B6" s="5" t="s">
        <v>26</v>
      </c>
      <c r="C6" s="6" t="s">
        <v>27</v>
      </c>
      <c r="D6" s="7" t="s">
        <v>43</v>
      </c>
      <c r="E6" s="4" t="s">
        <v>29</v>
      </c>
      <c r="F6" s="7" t="s">
        <v>44</v>
      </c>
      <c r="G6" s="8" t="s">
        <v>45</v>
      </c>
      <c r="H6" s="9">
        <v>508.0</v>
      </c>
      <c r="I6" s="9">
        <v>762.0</v>
      </c>
      <c r="J6" s="10" t="s">
        <v>46</v>
      </c>
      <c r="K6" s="7">
        <v>8000.0</v>
      </c>
      <c r="L6" s="7" t="s">
        <v>33</v>
      </c>
      <c r="M6" s="7" t="s">
        <v>49</v>
      </c>
      <c r="N6" s="4" t="s">
        <v>47</v>
      </c>
      <c r="O6" s="7">
        <v>0.0</v>
      </c>
      <c r="P6" s="7">
        <v>0.0</v>
      </c>
      <c r="Q6" s="7" t="s">
        <v>50</v>
      </c>
      <c r="R6" s="7">
        <v>150.0</v>
      </c>
      <c r="S6" s="7">
        <v>1300.0</v>
      </c>
      <c r="T6" s="7">
        <v>5000.0</v>
      </c>
      <c r="U6" s="7">
        <v>300.0</v>
      </c>
      <c r="V6" s="7">
        <v>450.0</v>
      </c>
      <c r="W6" s="7">
        <v>0.0</v>
      </c>
      <c r="X6" s="7">
        <v>2.0</v>
      </c>
      <c r="Y6" s="4" t="s">
        <v>35</v>
      </c>
      <c r="Z6" s="3"/>
      <c r="AA6" s="3"/>
      <c r="AB6" s="3"/>
      <c r="AC6" s="3"/>
      <c r="AD6" s="3"/>
    </row>
    <row r="7">
      <c r="A7" s="7" t="s">
        <v>51</v>
      </c>
      <c r="B7" s="5" t="s">
        <v>26</v>
      </c>
      <c r="C7" s="6" t="s">
        <v>27</v>
      </c>
      <c r="D7" s="7" t="s">
        <v>43</v>
      </c>
      <c r="E7" s="4" t="s">
        <v>29</v>
      </c>
      <c r="F7" s="7" t="s">
        <v>44</v>
      </c>
      <c r="G7" s="8" t="s">
        <v>45</v>
      </c>
      <c r="H7" s="9">
        <v>508.0</v>
      </c>
      <c r="I7" s="9">
        <v>762.0</v>
      </c>
      <c r="J7" s="10" t="s">
        <v>46</v>
      </c>
      <c r="K7" s="7">
        <v>8000.0</v>
      </c>
      <c r="L7" s="7" t="s">
        <v>33</v>
      </c>
      <c r="M7" s="7" t="s">
        <v>40</v>
      </c>
      <c r="N7" s="4" t="s">
        <v>47</v>
      </c>
      <c r="O7" s="7">
        <v>0.0</v>
      </c>
      <c r="P7" s="7">
        <v>0.0</v>
      </c>
      <c r="Q7" s="7" t="s">
        <v>50</v>
      </c>
      <c r="R7" s="7">
        <v>150.0</v>
      </c>
      <c r="S7" s="7">
        <v>1300.0</v>
      </c>
      <c r="T7" s="7">
        <v>5000.0</v>
      </c>
      <c r="U7" s="7">
        <v>300.0</v>
      </c>
      <c r="V7" s="7">
        <v>0.0</v>
      </c>
      <c r="W7" s="7">
        <v>0.0</v>
      </c>
      <c r="X7" s="7"/>
      <c r="Y7" s="4"/>
      <c r="Z7" s="3"/>
      <c r="AA7" s="3"/>
      <c r="AB7" s="3"/>
      <c r="AC7" s="3"/>
      <c r="AD7" s="3"/>
    </row>
    <row r="8">
      <c r="A8" s="4" t="s">
        <v>52</v>
      </c>
      <c r="B8" s="5" t="s">
        <v>26</v>
      </c>
      <c r="C8" s="6" t="s">
        <v>27</v>
      </c>
      <c r="D8" s="7" t="s">
        <v>53</v>
      </c>
      <c r="E8" s="4" t="s">
        <v>29</v>
      </c>
      <c r="F8" s="7" t="s">
        <v>30</v>
      </c>
      <c r="G8" s="10" t="s">
        <v>54</v>
      </c>
      <c r="H8" s="9">
        <v>635.0</v>
      </c>
      <c r="I8" s="9">
        <v>914.0</v>
      </c>
      <c r="J8" s="10" t="s">
        <v>55</v>
      </c>
      <c r="K8" s="7">
        <v>7000.0</v>
      </c>
      <c r="L8" s="4" t="s">
        <v>33</v>
      </c>
      <c r="M8" s="7">
        <v>3000.0</v>
      </c>
      <c r="N8" s="4" t="s">
        <v>56</v>
      </c>
      <c r="O8" s="7">
        <v>600.0</v>
      </c>
      <c r="P8" s="7">
        <v>0.0</v>
      </c>
      <c r="Q8" s="7">
        <v>0.0</v>
      </c>
      <c r="R8" s="7">
        <v>150.0</v>
      </c>
      <c r="S8" s="7">
        <v>1300.0</v>
      </c>
      <c r="T8" s="7">
        <v>5000.0</v>
      </c>
      <c r="U8" s="7">
        <v>300.0</v>
      </c>
      <c r="V8" s="7">
        <v>0.0</v>
      </c>
      <c r="W8" s="7">
        <v>550.0</v>
      </c>
      <c r="X8" s="4">
        <v>1.0</v>
      </c>
      <c r="Y8" s="4" t="s">
        <v>35</v>
      </c>
      <c r="Z8" s="3"/>
      <c r="AA8" s="3"/>
      <c r="AB8" s="3"/>
      <c r="AC8" s="3"/>
      <c r="AD8" s="3"/>
    </row>
    <row r="9">
      <c r="A9" s="7" t="s">
        <v>57</v>
      </c>
      <c r="B9" s="5" t="s">
        <v>26</v>
      </c>
      <c r="C9" s="6" t="s">
        <v>27</v>
      </c>
      <c r="D9" s="7" t="s">
        <v>58</v>
      </c>
      <c r="E9" s="4" t="s">
        <v>29</v>
      </c>
      <c r="F9" s="7" t="s">
        <v>30</v>
      </c>
      <c r="G9" s="8" t="s">
        <v>31</v>
      </c>
      <c r="H9" s="9">
        <v>711.0</v>
      </c>
      <c r="I9" s="9">
        <v>1016.0</v>
      </c>
      <c r="J9" s="10" t="s">
        <v>32</v>
      </c>
      <c r="K9" s="7">
        <v>7000.0</v>
      </c>
      <c r="L9" s="4" t="s">
        <v>33</v>
      </c>
      <c r="M9" s="7" t="s">
        <v>37</v>
      </c>
      <c r="N9" s="4" t="s">
        <v>56</v>
      </c>
      <c r="O9" s="7">
        <v>0.0</v>
      </c>
      <c r="P9" s="7" t="s">
        <v>59</v>
      </c>
      <c r="Q9" s="7">
        <v>0.0</v>
      </c>
      <c r="R9" s="7">
        <v>150.0</v>
      </c>
      <c r="S9" s="7">
        <v>1300.0</v>
      </c>
      <c r="T9" s="7">
        <v>5000.0</v>
      </c>
      <c r="U9" s="7">
        <v>300.0</v>
      </c>
      <c r="V9" s="7">
        <v>0.0</v>
      </c>
      <c r="W9" s="7"/>
      <c r="X9" s="4">
        <v>1.0</v>
      </c>
      <c r="Y9" s="4" t="s">
        <v>35</v>
      </c>
      <c r="Z9" s="3"/>
      <c r="AA9" s="3"/>
      <c r="AB9" s="3"/>
      <c r="AC9" s="3"/>
      <c r="AD9" s="3"/>
    </row>
    <row r="10">
      <c r="A10" s="4" t="s">
        <v>60</v>
      </c>
      <c r="B10" s="5" t="s">
        <v>26</v>
      </c>
      <c r="C10" s="6" t="s">
        <v>27</v>
      </c>
      <c r="D10" s="7" t="s">
        <v>58</v>
      </c>
      <c r="E10" s="4" t="s">
        <v>29</v>
      </c>
      <c r="F10" s="7" t="s">
        <v>30</v>
      </c>
      <c r="G10" s="8" t="s">
        <v>31</v>
      </c>
      <c r="H10" s="9">
        <v>711.0</v>
      </c>
      <c r="I10" s="9">
        <v>1016.0</v>
      </c>
      <c r="J10" s="10" t="s">
        <v>61</v>
      </c>
      <c r="K10" s="7">
        <v>7000.0</v>
      </c>
      <c r="L10" s="4" t="s">
        <v>33</v>
      </c>
      <c r="M10" s="7" t="s">
        <v>40</v>
      </c>
      <c r="N10" s="4" t="s">
        <v>56</v>
      </c>
      <c r="O10" s="7">
        <v>0.0</v>
      </c>
      <c r="P10" s="7" t="s">
        <v>38</v>
      </c>
      <c r="Q10" s="7">
        <v>0.0</v>
      </c>
      <c r="R10" s="7">
        <v>150.0</v>
      </c>
      <c r="S10" s="7">
        <v>1300.0</v>
      </c>
      <c r="T10" s="7">
        <v>5000.0</v>
      </c>
      <c r="U10" s="7">
        <v>300.0</v>
      </c>
      <c r="V10" s="7">
        <v>0.0</v>
      </c>
      <c r="W10" s="7"/>
      <c r="X10" s="4">
        <v>1.0</v>
      </c>
      <c r="Y10" s="4" t="s">
        <v>35</v>
      </c>
      <c r="Z10" s="3"/>
      <c r="AA10" s="3"/>
      <c r="AB10" s="3"/>
      <c r="AC10" s="3"/>
      <c r="AD10" s="3"/>
    </row>
    <row r="11">
      <c r="A11" s="7" t="s">
        <v>62</v>
      </c>
      <c r="B11" s="6" t="s">
        <v>63</v>
      </c>
      <c r="C11" s="6" t="s">
        <v>64</v>
      </c>
      <c r="D11" s="12" t="s">
        <v>65</v>
      </c>
      <c r="E11" s="4" t="s">
        <v>29</v>
      </c>
      <c r="F11" s="7" t="s">
        <v>30</v>
      </c>
      <c r="G11" s="10" t="s">
        <v>66</v>
      </c>
      <c r="H11" s="9">
        <v>508.0</v>
      </c>
      <c r="I11" s="9">
        <v>762.0</v>
      </c>
      <c r="J11" s="7" t="s">
        <v>32</v>
      </c>
      <c r="K11" s="7">
        <v>15000.0</v>
      </c>
      <c r="L11" s="4" t="s">
        <v>33</v>
      </c>
      <c r="M11" s="7">
        <v>2000.0</v>
      </c>
      <c r="N11" s="4" t="s">
        <v>67</v>
      </c>
      <c r="O11" s="7">
        <v>0.0</v>
      </c>
      <c r="P11" s="7">
        <v>2700.0</v>
      </c>
      <c r="Q11" s="7">
        <v>0.0</v>
      </c>
      <c r="R11" s="7">
        <v>150.0</v>
      </c>
      <c r="S11" s="7">
        <v>1300.0</v>
      </c>
      <c r="T11" s="7">
        <v>5000.0</v>
      </c>
      <c r="U11" s="7">
        <v>300.0</v>
      </c>
      <c r="V11" s="7">
        <v>0.0</v>
      </c>
      <c r="W11" s="7">
        <v>400.0</v>
      </c>
      <c r="X11" s="4">
        <v>1.0</v>
      </c>
      <c r="Y11" s="4" t="s">
        <v>35</v>
      </c>
      <c r="Z11" s="3"/>
      <c r="AA11" s="3"/>
      <c r="AB11" s="3"/>
      <c r="AC11" s="3"/>
      <c r="AD11" s="3"/>
    </row>
    <row r="12">
      <c r="A12" s="4" t="s">
        <v>68</v>
      </c>
      <c r="B12" s="6" t="s">
        <v>63</v>
      </c>
      <c r="C12" s="6" t="s">
        <v>64</v>
      </c>
      <c r="D12" s="12" t="s">
        <v>65</v>
      </c>
      <c r="E12" s="4" t="s">
        <v>29</v>
      </c>
      <c r="F12" s="7" t="s">
        <v>30</v>
      </c>
      <c r="G12" s="10" t="s">
        <v>66</v>
      </c>
      <c r="H12" s="9">
        <v>508.0</v>
      </c>
      <c r="I12" s="9">
        <v>762.0</v>
      </c>
      <c r="J12" s="7" t="s">
        <v>32</v>
      </c>
      <c r="K12" s="7">
        <v>15000.0</v>
      </c>
      <c r="L12" s="7" t="s">
        <v>69</v>
      </c>
      <c r="M12" s="7">
        <v>2001.0</v>
      </c>
      <c r="N12" s="4"/>
      <c r="O12" s="7"/>
      <c r="P12" s="7" t="s">
        <v>50</v>
      </c>
      <c r="Q12" s="7">
        <v>0.0</v>
      </c>
      <c r="R12" s="7">
        <v>150.0</v>
      </c>
      <c r="S12" s="7">
        <v>1300.0</v>
      </c>
      <c r="T12" s="7">
        <v>5000.0</v>
      </c>
      <c r="U12" s="7">
        <v>300.0</v>
      </c>
      <c r="V12" s="7">
        <v>0.0</v>
      </c>
      <c r="W12" s="7">
        <v>400.0</v>
      </c>
      <c r="X12" s="7">
        <v>1.0</v>
      </c>
      <c r="Y12" s="4" t="s">
        <v>35</v>
      </c>
      <c r="Z12" s="3"/>
      <c r="AA12" s="3"/>
      <c r="AB12" s="3"/>
      <c r="AC12" s="3"/>
      <c r="AD12" s="3"/>
    </row>
    <row r="13">
      <c r="A13" s="7" t="s">
        <v>70</v>
      </c>
      <c r="B13" s="6" t="s">
        <v>63</v>
      </c>
      <c r="C13" s="6" t="s">
        <v>64</v>
      </c>
      <c r="D13" s="12" t="s">
        <v>71</v>
      </c>
      <c r="E13" s="4" t="s">
        <v>29</v>
      </c>
      <c r="F13" s="7" t="s">
        <v>72</v>
      </c>
      <c r="G13" s="10" t="s">
        <v>73</v>
      </c>
      <c r="H13" s="9">
        <v>483.0</v>
      </c>
      <c r="I13" s="9">
        <v>635.0</v>
      </c>
      <c r="J13" s="7" t="s">
        <v>32</v>
      </c>
      <c r="K13" s="7">
        <v>13000.0</v>
      </c>
      <c r="L13" s="4" t="s">
        <v>33</v>
      </c>
      <c r="M13" s="7">
        <v>2000.0</v>
      </c>
      <c r="N13" s="4" t="s">
        <v>74</v>
      </c>
      <c r="O13" s="7">
        <v>0.0</v>
      </c>
      <c r="P13" s="7">
        <v>2400.0</v>
      </c>
      <c r="Q13" s="7">
        <v>0.0</v>
      </c>
      <c r="R13" s="7">
        <v>150.0</v>
      </c>
      <c r="S13" s="7">
        <v>1300.0</v>
      </c>
      <c r="T13" s="7">
        <v>5000.0</v>
      </c>
      <c r="U13" s="7">
        <v>300.0</v>
      </c>
      <c r="V13" s="7">
        <v>0.0</v>
      </c>
      <c r="W13" s="7">
        <v>400.0</v>
      </c>
      <c r="X13" s="7">
        <v>1.0</v>
      </c>
      <c r="Y13" s="4" t="s">
        <v>35</v>
      </c>
      <c r="Z13" s="3"/>
      <c r="AA13" s="3"/>
      <c r="AB13" s="3"/>
      <c r="AC13" s="3"/>
      <c r="AD13" s="3"/>
    </row>
    <row r="14">
      <c r="A14" s="4" t="s">
        <v>75</v>
      </c>
      <c r="B14" s="6" t="s">
        <v>63</v>
      </c>
      <c r="C14" s="6" t="s">
        <v>64</v>
      </c>
      <c r="D14" s="12" t="s">
        <v>71</v>
      </c>
      <c r="E14" s="4" t="s">
        <v>29</v>
      </c>
      <c r="F14" s="7" t="s">
        <v>72</v>
      </c>
      <c r="G14" s="7" t="s">
        <v>73</v>
      </c>
      <c r="H14" s="9">
        <v>483.0</v>
      </c>
      <c r="I14" s="9">
        <v>635.0</v>
      </c>
      <c r="J14" s="7" t="s">
        <v>32</v>
      </c>
      <c r="K14" s="7">
        <v>13000.0</v>
      </c>
      <c r="L14" s="4" t="s">
        <v>33</v>
      </c>
      <c r="M14" s="7">
        <v>2001.0</v>
      </c>
      <c r="N14" s="4" t="s">
        <v>76</v>
      </c>
      <c r="O14" s="7">
        <v>0.0</v>
      </c>
      <c r="P14" s="7" t="s">
        <v>77</v>
      </c>
      <c r="Q14" s="7">
        <v>0.0</v>
      </c>
      <c r="R14" s="7">
        <v>150.0</v>
      </c>
      <c r="S14" s="7">
        <v>1300.0</v>
      </c>
      <c r="T14" s="7">
        <v>5000.0</v>
      </c>
      <c r="U14" s="7">
        <v>300.0</v>
      </c>
      <c r="V14" s="7">
        <v>0.0</v>
      </c>
      <c r="W14" s="7">
        <v>400.0</v>
      </c>
      <c r="X14" s="7">
        <v>1.0</v>
      </c>
      <c r="Y14" s="4" t="s">
        <v>35</v>
      </c>
      <c r="Z14" s="3"/>
      <c r="AA14" s="3"/>
      <c r="AB14" s="3"/>
      <c r="AC14" s="3"/>
      <c r="AD14" s="3"/>
    </row>
    <row r="15">
      <c r="A15" s="7" t="s">
        <v>78</v>
      </c>
      <c r="B15" s="5" t="s">
        <v>79</v>
      </c>
      <c r="C15" s="6" t="s">
        <v>80</v>
      </c>
      <c r="D15" s="7" t="s">
        <v>81</v>
      </c>
      <c r="E15" s="4" t="s">
        <v>29</v>
      </c>
      <c r="F15" s="7" t="s">
        <v>72</v>
      </c>
      <c r="G15" s="7" t="s">
        <v>82</v>
      </c>
      <c r="H15" s="9">
        <v>457.0</v>
      </c>
      <c r="I15" s="9">
        <v>635.0</v>
      </c>
      <c r="J15" s="7" t="s">
        <v>32</v>
      </c>
      <c r="K15" s="7">
        <v>13000.0</v>
      </c>
      <c r="L15" s="4" t="s">
        <v>33</v>
      </c>
      <c r="M15" s="7">
        <v>2000.0</v>
      </c>
      <c r="N15" s="4" t="s">
        <v>76</v>
      </c>
      <c r="O15" s="7">
        <v>0.0</v>
      </c>
      <c r="P15" s="7">
        <v>0.0</v>
      </c>
      <c r="Q15" s="7">
        <v>0.0</v>
      </c>
      <c r="R15" s="7">
        <v>150.0</v>
      </c>
      <c r="S15" s="7">
        <v>1300.0</v>
      </c>
      <c r="T15" s="7">
        <v>5000.0</v>
      </c>
      <c r="U15" s="7">
        <v>300.0</v>
      </c>
      <c r="V15" s="7">
        <v>0.0</v>
      </c>
      <c r="W15" s="7">
        <v>0.0</v>
      </c>
      <c r="X15" s="7">
        <v>1.0</v>
      </c>
      <c r="Y15" s="4" t="s">
        <v>35</v>
      </c>
      <c r="Z15" s="3"/>
      <c r="AA15" s="3"/>
      <c r="AB15" s="3"/>
      <c r="AC15" s="3"/>
      <c r="AD15" s="3"/>
    </row>
    <row r="16">
      <c r="A16" s="4" t="s">
        <v>83</v>
      </c>
      <c r="B16" s="5" t="s">
        <v>79</v>
      </c>
      <c r="C16" s="6" t="s">
        <v>80</v>
      </c>
      <c r="D16" s="7" t="s">
        <v>81</v>
      </c>
      <c r="E16" s="4" t="s">
        <v>29</v>
      </c>
      <c r="F16" s="7" t="s">
        <v>72</v>
      </c>
      <c r="G16" s="7" t="s">
        <v>82</v>
      </c>
      <c r="H16" s="9">
        <v>457.0</v>
      </c>
      <c r="I16" s="9">
        <v>635.0</v>
      </c>
      <c r="J16" s="7" t="s">
        <v>32</v>
      </c>
      <c r="K16" s="7">
        <v>13000.0</v>
      </c>
      <c r="L16" s="4" t="s">
        <v>33</v>
      </c>
      <c r="M16" s="7" t="s">
        <v>84</v>
      </c>
      <c r="N16" s="4" t="s">
        <v>76</v>
      </c>
      <c r="O16" s="7">
        <v>0.0</v>
      </c>
      <c r="P16" s="7" t="s">
        <v>41</v>
      </c>
      <c r="Q16" s="7">
        <v>0.0</v>
      </c>
      <c r="R16" s="7">
        <v>150.0</v>
      </c>
      <c r="S16" s="7">
        <v>1300.0</v>
      </c>
      <c r="T16" s="7">
        <v>5000.0</v>
      </c>
      <c r="U16" s="7">
        <v>300.0</v>
      </c>
      <c r="V16" s="7">
        <v>0.0</v>
      </c>
      <c r="W16" s="7">
        <v>0.0</v>
      </c>
      <c r="X16" s="7">
        <v>1.0</v>
      </c>
      <c r="Y16" s="4" t="s">
        <v>35</v>
      </c>
      <c r="Z16" s="3"/>
      <c r="AA16" s="3"/>
      <c r="AB16" s="3"/>
      <c r="AC16" s="3"/>
      <c r="AD16" s="3"/>
    </row>
    <row r="17">
      <c r="A17" s="7" t="s">
        <v>85</v>
      </c>
      <c r="B17" s="5" t="s">
        <v>79</v>
      </c>
      <c r="C17" s="6" t="s">
        <v>80</v>
      </c>
      <c r="D17" s="7" t="s">
        <v>86</v>
      </c>
      <c r="E17" s="4" t="s">
        <v>29</v>
      </c>
      <c r="F17" s="7" t="s">
        <v>72</v>
      </c>
      <c r="G17" s="7" t="s">
        <v>54</v>
      </c>
      <c r="H17" s="7">
        <v>635.0</v>
      </c>
      <c r="I17" s="7">
        <v>915.0</v>
      </c>
      <c r="J17" s="7" t="s">
        <v>87</v>
      </c>
      <c r="K17" s="7">
        <v>13000.0</v>
      </c>
      <c r="L17" s="4" t="s">
        <v>33</v>
      </c>
      <c r="M17" s="7">
        <v>2000.0</v>
      </c>
      <c r="N17" s="4" t="s">
        <v>76</v>
      </c>
      <c r="O17" s="7">
        <v>0.0</v>
      </c>
      <c r="P17" s="7">
        <v>0.0</v>
      </c>
      <c r="Q17" s="7">
        <v>0.0</v>
      </c>
      <c r="R17" s="7">
        <v>150.0</v>
      </c>
      <c r="S17" s="7">
        <v>1300.0</v>
      </c>
      <c r="T17" s="7">
        <v>5000.0</v>
      </c>
      <c r="U17" s="7">
        <v>300.0</v>
      </c>
      <c r="V17" s="7">
        <v>0.0</v>
      </c>
      <c r="W17" s="7">
        <v>0.0</v>
      </c>
      <c r="X17" s="7">
        <v>1.0</v>
      </c>
      <c r="Y17" s="4" t="s">
        <v>35</v>
      </c>
      <c r="Z17" s="3"/>
      <c r="AA17" s="3"/>
      <c r="AB17" s="3"/>
      <c r="AC17" s="3"/>
      <c r="AD17" s="3"/>
    </row>
    <row r="18">
      <c r="A18" s="4" t="s">
        <v>88</v>
      </c>
      <c r="B18" s="5" t="s">
        <v>79</v>
      </c>
      <c r="C18" s="6" t="s">
        <v>80</v>
      </c>
      <c r="D18" s="7" t="s">
        <v>86</v>
      </c>
      <c r="E18" s="4" t="s">
        <v>29</v>
      </c>
      <c r="F18" s="7" t="s">
        <v>72</v>
      </c>
      <c r="G18" s="7" t="s">
        <v>54</v>
      </c>
      <c r="H18" s="7">
        <v>635.0</v>
      </c>
      <c r="I18" s="7">
        <v>915.0</v>
      </c>
      <c r="J18" s="7" t="s">
        <v>87</v>
      </c>
      <c r="K18" s="7">
        <v>13000.0</v>
      </c>
      <c r="L18" s="4" t="s">
        <v>33</v>
      </c>
      <c r="M18" s="7" t="s">
        <v>84</v>
      </c>
      <c r="N18" s="4" t="s">
        <v>76</v>
      </c>
      <c r="O18" s="7" t="s">
        <v>89</v>
      </c>
      <c r="P18" s="7">
        <v>0.0</v>
      </c>
      <c r="Q18" s="7">
        <v>0.0</v>
      </c>
      <c r="R18" s="7">
        <v>150.0</v>
      </c>
      <c r="S18" s="7">
        <v>1300.0</v>
      </c>
      <c r="T18" s="7">
        <v>5000.0</v>
      </c>
      <c r="U18" s="7">
        <v>300.0</v>
      </c>
      <c r="V18" s="7">
        <v>0.0</v>
      </c>
      <c r="W18" s="7">
        <v>0.0</v>
      </c>
      <c r="X18" s="7">
        <v>1.0</v>
      </c>
      <c r="Y18" s="4" t="s">
        <v>35</v>
      </c>
      <c r="Z18" s="3"/>
      <c r="AA18" s="3"/>
      <c r="AB18" s="3"/>
      <c r="AC18" s="3"/>
      <c r="AD18" s="3"/>
    </row>
    <row r="19">
      <c r="A19" s="3"/>
      <c r="B19" s="13"/>
      <c r="C19" s="13"/>
      <c r="D19" s="1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>
      <c r="A20" s="3"/>
      <c r="B20" s="13"/>
      <c r="C20" s="13"/>
      <c r="D20" s="1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</row>
    <row r="21">
      <c r="A21" s="3"/>
      <c r="B21" s="13"/>
      <c r="C21" s="13"/>
      <c r="D21" s="1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</row>
    <row r="22">
      <c r="A22" s="3"/>
      <c r="B22" s="13"/>
      <c r="C22" s="13"/>
      <c r="D22" s="1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</row>
    <row r="23">
      <c r="A23" s="3"/>
      <c r="B23" s="13"/>
      <c r="C23" s="13"/>
      <c r="D23" s="1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</row>
    <row r="24">
      <c r="A24" s="3"/>
      <c r="B24" s="13"/>
      <c r="C24" s="13"/>
      <c r="D24" s="1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</row>
    <row r="25">
      <c r="A25" s="3"/>
      <c r="B25" s="13"/>
      <c r="C25" s="13"/>
      <c r="D25" s="1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</row>
    <row r="26">
      <c r="A26" s="3"/>
      <c r="B26" s="13"/>
      <c r="C26" s="13"/>
      <c r="D26" s="1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</row>
    <row r="27">
      <c r="A27" s="3"/>
      <c r="B27" s="13"/>
      <c r="C27" s="13"/>
      <c r="D27" s="1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>
      <c r="A28" s="3"/>
      <c r="B28" s="13"/>
      <c r="C28" s="13"/>
      <c r="D28" s="1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</row>
    <row r="29">
      <c r="A29" s="3"/>
      <c r="B29" s="13"/>
      <c r="C29" s="13"/>
      <c r="D29" s="1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</row>
    <row r="30">
      <c r="A30" s="3"/>
      <c r="B30" s="13"/>
      <c r="C30" s="13"/>
      <c r="D30" s="1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</row>
    <row r="31">
      <c r="A31" s="3"/>
      <c r="B31" s="13"/>
      <c r="C31" s="13"/>
      <c r="D31" s="1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</row>
    <row r="32">
      <c r="A32" s="3"/>
      <c r="B32" s="13"/>
      <c r="C32" s="13"/>
      <c r="D32" s="1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</row>
    <row r="33">
      <c r="A33" s="3"/>
      <c r="B33" s="13"/>
      <c r="C33" s="13"/>
      <c r="D33" s="1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</row>
    <row r="34">
      <c r="A34" s="3"/>
      <c r="B34" s="13"/>
      <c r="C34" s="13"/>
      <c r="D34" s="1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</row>
    <row r="35">
      <c r="A35" s="3"/>
      <c r="B35" s="13"/>
      <c r="C35" s="13"/>
      <c r="D35" s="1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</row>
    <row r="36">
      <c r="A36" s="3"/>
      <c r="B36" s="13"/>
      <c r="C36" s="13"/>
      <c r="D36" s="1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>
      <c r="A37" s="3"/>
      <c r="B37" s="13"/>
      <c r="C37" s="13"/>
      <c r="D37" s="1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</row>
    <row r="38">
      <c r="A38" s="3"/>
      <c r="B38" s="13"/>
      <c r="C38" s="13"/>
      <c r="D38" s="1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</row>
    <row r="39">
      <c r="A39" s="3"/>
      <c r="B39" s="13"/>
      <c r="C39" s="13"/>
      <c r="D39" s="1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>
      <c r="A40" s="3"/>
      <c r="B40" s="13"/>
      <c r="C40" s="13"/>
      <c r="D40" s="1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>
      <c r="A41" s="3"/>
      <c r="B41" s="13"/>
      <c r="C41" s="13"/>
      <c r="D41" s="1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>
      <c r="A42" s="3"/>
      <c r="B42" s="13"/>
      <c r="C42" s="13"/>
      <c r="D42" s="1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>
      <c r="A43" s="3"/>
      <c r="B43" s="13"/>
      <c r="C43" s="13"/>
      <c r="D43" s="1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>
      <c r="A44" s="3"/>
      <c r="B44" s="13" t="s">
        <v>90</v>
      </c>
      <c r="C44" s="13">
        <v>450.0</v>
      </c>
      <c r="D44" s="13" t="s">
        <v>91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</row>
    <row r="45">
      <c r="A45" s="3"/>
      <c r="B45" s="13" t="s">
        <v>92</v>
      </c>
      <c r="C45" s="13">
        <v>550.0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</row>
    <row r="47">
      <c r="A47" s="3"/>
      <c r="B47" s="3"/>
      <c r="C47" s="3"/>
      <c r="D47" s="3">
        <f>28*0.0259</f>
        <v>0.7252</v>
      </c>
      <c r="E47" s="3"/>
      <c r="F47" s="3"/>
      <c r="G47" s="13" t="s">
        <v>93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>
      <c r="A48" s="3"/>
      <c r="B48" s="3"/>
      <c r="C48" s="3"/>
      <c r="D48" s="3"/>
      <c r="E48" s="3"/>
      <c r="F48" s="3"/>
      <c r="G48" s="13" t="s">
        <v>94</v>
      </c>
      <c r="H48" s="3"/>
      <c r="I48" s="3"/>
      <c r="J48" s="13" t="s">
        <v>45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>
        <f>216*2</f>
        <v>432</v>
      </c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</row>
    <row r="50">
      <c r="A50" s="3"/>
      <c r="B50" s="3"/>
      <c r="C50" s="3"/>
      <c r="D50" s="3"/>
      <c r="E50" s="3"/>
      <c r="F50" s="3"/>
      <c r="G50" s="13">
        <v>2400.0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>
        <f>25*36*78/3100</f>
        <v>22.64516129</v>
      </c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>
        <f>23.22*74</f>
        <v>1718.28</v>
      </c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</row>
    <row r="54">
      <c r="A54" s="3"/>
      <c r="B54" s="3"/>
      <c r="C54" s="3"/>
      <c r="D54" s="3"/>
      <c r="E54" s="3"/>
      <c r="F54" s="3"/>
      <c r="G54" s="13" t="s">
        <v>95</v>
      </c>
      <c r="H54" s="3"/>
      <c r="I54" s="3"/>
      <c r="J54" s="3"/>
      <c r="K54" s="3"/>
      <c r="L54" s="3">
        <f>1718.28*6500/500</f>
        <v>22337.64</v>
      </c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</row>
    <row r="55">
      <c r="A55" s="3"/>
      <c r="B55" s="3"/>
      <c r="C55" s="3"/>
      <c r="D55" s="3"/>
      <c r="E55" s="3"/>
      <c r="F55" s="3"/>
      <c r="G55" s="13">
        <v>2400.0</v>
      </c>
      <c r="H55" s="3"/>
      <c r="I55" s="3"/>
      <c r="J55" s="13" t="s">
        <v>45</v>
      </c>
      <c r="K55" s="3"/>
      <c r="L55" s="3">
        <f>L54+1500</f>
        <v>23837.64</v>
      </c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>
      <c r="A56" s="3"/>
      <c r="B56" s="3"/>
      <c r="C56" s="3"/>
      <c r="D56" s="3"/>
      <c r="E56" s="3"/>
      <c r="F56" s="3"/>
      <c r="G56" s="13">
        <v>2700.0</v>
      </c>
      <c r="H56" s="3"/>
      <c r="I56" s="3"/>
      <c r="J56" s="13" t="s">
        <v>96</v>
      </c>
      <c r="K56" s="3"/>
      <c r="L56" s="3">
        <f>L55*18%</f>
        <v>4290.7752</v>
      </c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</row>
    <row r="60">
      <c r="A60" s="3"/>
      <c r="B60" s="3"/>
      <c r="C60" s="13" t="s">
        <v>90</v>
      </c>
      <c r="D60" s="13">
        <v>450.0</v>
      </c>
      <c r="E60" s="13" t="s">
        <v>97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>
      <c r="A61" s="3"/>
      <c r="B61" s="3"/>
      <c r="C61" s="13" t="s">
        <v>92</v>
      </c>
      <c r="D61" s="13">
        <v>550.0</v>
      </c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</row>
    <row r="64">
      <c r="A64" s="3"/>
      <c r="B64" s="3"/>
      <c r="C64" s="3"/>
      <c r="D64" s="13">
        <v>1400.0</v>
      </c>
      <c r="E64" s="13" t="s">
        <v>98</v>
      </c>
      <c r="F64" s="13" t="s">
        <v>99</v>
      </c>
      <c r="G64" s="13" t="s">
        <v>100</v>
      </c>
      <c r="H64" s="3"/>
      <c r="I64" s="13">
        <v>1400.0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</row>
    <row r="65">
      <c r="A65" s="3"/>
      <c r="B65" s="3"/>
      <c r="C65" s="3"/>
      <c r="D65" s="13">
        <v>600.0</v>
      </c>
      <c r="E65" s="13" t="s">
        <v>98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</row>
    <row r="67">
      <c r="A67" s="3"/>
      <c r="B67" s="3"/>
      <c r="C67" s="3"/>
      <c r="D67" s="13">
        <v>2200.0</v>
      </c>
      <c r="E67" s="13" t="s">
        <v>101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</row>
    <row r="1006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</row>
    <row r="1007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</row>
    <row r="1008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</row>
    <row r="1009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</row>
    <row r="1010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</row>
    <row r="101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</row>
    <row r="1012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</row>
    <row r="1013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</row>
    <row r="1014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</row>
    <row r="1015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</row>
    <row r="1016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</row>
    <row r="1017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</row>
    <row r="1018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</row>
    <row r="1019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</row>
    <row r="1020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</row>
    <row r="1021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</row>
    <row r="1022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</row>
    <row r="1023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</row>
    <row r="1024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</row>
    <row r="1025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</row>
    <row r="1026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</row>
    <row r="1027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</row>
    <row r="1028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</row>
    <row r="1029">
      <c r="A1029" s="3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</row>
    <row r="1030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</row>
    <row r="1031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</row>
    <row r="1032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</row>
    <row r="1033">
      <c r="A1033" s="3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</row>
  </sheetData>
  <printOptions/>
  <pageMargins bottom="1.0" footer="0.0" header="0.0" left="0.75" right="0.75" top="1.0"/>
  <pageSetup orientation="landscape"/>
  <drawing r:id="rId1"/>
</worksheet>
</file>